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8DC"/>
      </patternFill>
    </fill>
    <fill>
      <patternFill patternType="solid">
        <fgColor rgb="00E8F4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0" borderId="0" pivotButton="0" quotePrefix="0" xfId="0"/>
    <xf numFmtId="0" fontId="3" fillId="5" borderId="1" pivotButton="0" quotePrefix="0" xfId="0"/>
    <xf numFmtId="164" fontId="3" fillId="5" borderId="1" pivotButton="0" quotePrefix="0" xfId="0"/>
    <xf numFmtId="0" fontId="3" fillId="0" borderId="1" pivotButton="0" quotePrefix="0" xfId="0"/>
    <xf numFmtId="0" fontId="0" fillId="3" borderId="1" pivotButton="0" quotePrefix="0" xfId="0"/>
    <xf numFmtId="165" fontId="0" fillId="5" borderId="1" pivotButton="0" quotePrefix="0" xfId="0"/>
    <xf numFmtId="166" fontId="0" fillId="3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Budget Calculator (Basic) - Foundation Tier</t>
        </is>
      </c>
    </row>
    <row r="2">
      <c r="A2" t="inlineStr">
        <is>
          <t>1) Enter or adjust low/high estimates in the Calculator tab (yellow cells).</t>
        </is>
      </c>
    </row>
    <row r="3">
      <c r="A3" t="inlineStr">
        <is>
          <t>2) Review totals and cost per square foot outputs (green cells).</t>
        </is>
      </c>
    </row>
    <row r="4">
      <c r="A4" t="inlineStr">
        <is>
          <t>3) Set a contingency between 10% and 15% unless site risk is unusually low/high.</t>
        </is>
      </c>
    </row>
    <row r="5">
      <c r="A5" t="inlineStr">
        <is>
          <t>4) Use this as an early feasibility screen, not a contractor bid substitute.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0" customWidth="1" min="4" max="4"/>
    <col width="32" customWidth="1" min="5" max="5"/>
  </cols>
  <sheetData>
    <row r="1">
      <c r="A1" s="2" t="inlineStr">
        <is>
          <t>ADU Budget Calculator (Basic)</t>
        </is>
      </c>
    </row>
    <row r="3">
      <c r="A3" s="3" t="inlineStr">
        <is>
          <t>Category</t>
        </is>
      </c>
      <c r="B3" s="3" t="inlineStr">
        <is>
          <t>Low Estimate ($)</t>
        </is>
      </c>
      <c r="C3" s="3" t="inlineStr">
        <is>
          <t>High Estimate ($)</t>
        </is>
      </c>
      <c r="D3" s="3" t="inlineStr">
        <is>
          <t>Selected Estimate ($)</t>
        </is>
      </c>
      <c r="E3" s="3" t="inlineStr">
        <is>
          <t>Notes</t>
        </is>
      </c>
    </row>
    <row r="4">
      <c r="A4" s="4" t="inlineStr">
        <is>
          <t>Design / architecture</t>
        </is>
      </c>
      <c r="B4" s="5" t="n">
        <v>12000</v>
      </c>
      <c r="C4" s="5" t="n">
        <v>28000</v>
      </c>
      <c r="D4" s="6">
        <f>IF(OR(B4="",C4=""),"",AVERAGE(B4,C4))</f>
        <v/>
      </c>
      <c r="E4" s="4" t="n"/>
    </row>
    <row r="5">
      <c r="A5" s="4" t="inlineStr">
        <is>
          <t>Engineering (structural/civil/geotech)</t>
        </is>
      </c>
      <c r="B5" s="5" t="n">
        <v>6000</v>
      </c>
      <c r="C5" s="5" t="n">
        <v>18000</v>
      </c>
      <c r="D5" s="6">
        <f>IF(OR(B5="",C5=""),"",AVERAGE(B5,C5))</f>
        <v/>
      </c>
      <c r="E5" s="4" t="n"/>
    </row>
    <row r="6">
      <c r="A6" s="4" t="inlineStr">
        <is>
          <t>Permits and fees</t>
        </is>
      </c>
      <c r="B6" s="5" t="n">
        <v>5000</v>
      </c>
      <c r="C6" s="5" t="n">
        <v>20000</v>
      </c>
      <c r="D6" s="6">
        <f>IF(OR(B6="",C6=""),"",AVERAGE(B6,C6))</f>
        <v/>
      </c>
      <c r="E6" s="4" t="n"/>
    </row>
    <row r="7">
      <c r="A7" s="4" t="inlineStr">
        <is>
          <t>Site preparation</t>
        </is>
      </c>
      <c r="B7" s="5" t="n">
        <v>8000</v>
      </c>
      <c r="C7" s="5" t="n">
        <v>25000</v>
      </c>
      <c r="D7" s="6">
        <f>IF(OR(B7="",C7=""),"",AVERAGE(B7,C7))</f>
        <v/>
      </c>
      <c r="E7" s="4" t="n"/>
    </row>
    <row r="8">
      <c r="A8" s="4" t="inlineStr">
        <is>
          <t>Foundation</t>
        </is>
      </c>
      <c r="B8" s="5" t="n">
        <v>12000</v>
      </c>
      <c r="C8" s="5" t="n">
        <v>35000</v>
      </c>
      <c r="D8" s="6">
        <f>IF(OR(B8="",C8=""),"",AVERAGE(B8,C8))</f>
        <v/>
      </c>
      <c r="E8" s="4" t="n"/>
    </row>
    <row r="9">
      <c r="A9" s="4" t="inlineStr">
        <is>
          <t>Framing</t>
        </is>
      </c>
      <c r="B9" s="5" t="n">
        <v>18000</v>
      </c>
      <c r="C9" s="5" t="n">
        <v>45000</v>
      </c>
      <c r="D9" s="6">
        <f>IF(OR(B9="",C9=""),"",AVERAGE(B9,C9))</f>
        <v/>
      </c>
      <c r="E9" s="4" t="n"/>
    </row>
    <row r="10">
      <c r="A10" s="4" t="inlineStr">
        <is>
          <t>Roofing</t>
        </is>
      </c>
      <c r="B10" s="5" t="n">
        <v>5000</v>
      </c>
      <c r="C10" s="5" t="n">
        <v>15000</v>
      </c>
      <c r="D10" s="6">
        <f>IF(OR(B10="",C10=""),"",AVERAGE(B10,C10))</f>
        <v/>
      </c>
      <c r="E10" s="4" t="n"/>
    </row>
    <row r="11">
      <c r="A11" s="4" t="inlineStr">
        <is>
          <t>MEP rough-in</t>
        </is>
      </c>
      <c r="B11" s="5" t="n">
        <v>18000</v>
      </c>
      <c r="C11" s="5" t="n">
        <v>50000</v>
      </c>
      <c r="D11" s="6">
        <f>IF(OR(B11="",C11=""),"",AVERAGE(B11,C11))</f>
        <v/>
      </c>
      <c r="E11" s="4" t="n"/>
    </row>
    <row r="12">
      <c r="A12" s="4" t="inlineStr">
        <is>
          <t>Insulation + drywall</t>
        </is>
      </c>
      <c r="B12" s="5" t="n">
        <v>7000</v>
      </c>
      <c r="C12" s="5" t="n">
        <v>22000</v>
      </c>
      <c r="D12" s="6">
        <f>IF(OR(B12="",C12=""),"",AVERAGE(B12,C12))</f>
        <v/>
      </c>
      <c r="E12" s="4" t="n"/>
    </row>
    <row r="13">
      <c r="A13" s="4" t="inlineStr">
        <is>
          <t>Finishes (flooring/cabinets/fixtures)</t>
        </is>
      </c>
      <c r="B13" s="5" t="n">
        <v>20000</v>
      </c>
      <c r="C13" s="5" t="n">
        <v>60000</v>
      </c>
      <c r="D13" s="6">
        <f>IF(OR(B13="",C13=""),"",AVERAGE(B13,C13))</f>
        <v/>
      </c>
      <c r="E13" s="4" t="n"/>
    </row>
    <row r="14">
      <c r="A14" s="4" t="inlineStr">
        <is>
          <t>Exterior</t>
        </is>
      </c>
      <c r="B14" s="5" t="n">
        <v>7000</v>
      </c>
      <c r="C14" s="5" t="n">
        <v>20000</v>
      </c>
      <c r="D14" s="6">
        <f>IF(OR(B14="",C14=""),"",AVERAGE(B14,C14))</f>
        <v/>
      </c>
      <c r="E14" s="4" t="n"/>
    </row>
    <row r="15">
      <c r="A15" s="4" t="inlineStr">
        <is>
          <t>Utility connections</t>
        </is>
      </c>
      <c r="B15" s="5" t="n">
        <v>8000</v>
      </c>
      <c r="C15" s="5" t="n">
        <v>30000</v>
      </c>
      <c r="D15" s="6">
        <f>IF(OR(B15="",C15=""),"",AVERAGE(B15,C15))</f>
        <v/>
      </c>
      <c r="E15" s="4" t="n"/>
    </row>
    <row r="16">
      <c r="A16" s="4" t="inlineStr">
        <is>
          <t>Landscaping/hardscape</t>
        </is>
      </c>
      <c r="B16" s="5" t="n">
        <v>3000</v>
      </c>
      <c r="C16" s="5" t="n">
        <v>15000</v>
      </c>
      <c r="D16" s="6">
        <f>IF(OR(B16="",C16=""),"",AVERAGE(B16,C16))</f>
        <v/>
      </c>
      <c r="E16" s="4" t="n"/>
    </row>
    <row r="17">
      <c r="A17" s="4" t="inlineStr">
        <is>
          <t>Contingency reserve (line-item placeholder)</t>
        </is>
      </c>
      <c r="B17" s="5" t="n">
        <v>10000</v>
      </c>
      <c r="C17" s="5" t="n">
        <v>35000</v>
      </c>
      <c r="D17" s="6">
        <f>IF(OR(B17="",C17=""),"",AVERAGE(B17,C17))</f>
        <v/>
      </c>
      <c r="E17" s="4" t="n"/>
    </row>
    <row r="18">
      <c r="B18" s="7" t="n"/>
      <c r="C18" s="7" t="n"/>
      <c r="D18" s="7" t="n"/>
    </row>
    <row r="19">
      <c r="A19" s="8" t="inlineStr">
        <is>
          <t>Total (before contingency %)</t>
        </is>
      </c>
      <c r="B19" s="9">
        <f>SUM(B4:B17)</f>
        <v/>
      </c>
      <c r="C19" s="9">
        <f>SUM(C4:C17)</f>
        <v/>
      </c>
      <c r="D19" s="9">
        <f>SUM(D4:D17)</f>
        <v/>
      </c>
    </row>
    <row r="21">
      <c r="A21" s="10" t="inlineStr">
        <is>
          <t>Target ADU size (sq ft)</t>
        </is>
      </c>
      <c r="B21" s="11" t="n">
        <v>800</v>
      </c>
    </row>
    <row r="22">
      <c r="A22" s="10" t="inlineStr">
        <is>
          <t>Low $/sq ft</t>
        </is>
      </c>
      <c r="B22" s="12">
        <f>IF(B21&gt;0,B19/B21,"")</f>
        <v/>
      </c>
    </row>
    <row r="23">
      <c r="A23" s="10" t="inlineStr">
        <is>
          <t>High $/sq ft</t>
        </is>
      </c>
      <c r="B23" s="12">
        <f>IF(B21&gt;0,C19/B21,"")</f>
        <v/>
      </c>
    </row>
    <row r="24">
      <c r="A24" s="10" t="inlineStr">
        <is>
          <t>Selected $/sq ft</t>
        </is>
      </c>
      <c r="B24" s="12">
        <f>IF(B21&gt;0,D19/B21,"")</f>
        <v/>
      </c>
    </row>
    <row r="25">
      <c r="A25" s="10" t="inlineStr">
        <is>
          <t>Contingency % (recommended 10%-15%)</t>
        </is>
      </c>
      <c r="B25" s="13" t="n">
        <v>0.12</v>
      </c>
    </row>
    <row r="26">
      <c r="A26" s="10" t="inlineStr">
        <is>
          <t>Contingency amount (selected total)</t>
        </is>
      </c>
      <c r="B26" s="14">
        <f>IF(D19&gt;0,D19*B25,"")</f>
        <v/>
      </c>
    </row>
    <row r="27">
      <c r="A27" s="10" t="inlineStr">
        <is>
          <t>All-in selected estimate</t>
        </is>
      </c>
      <c r="B27" s="14">
        <f>IF(D19&gt;0,D19+B26,"")</f>
        <v/>
      </c>
    </row>
  </sheetData>
  <mergeCells count="1">
    <mergeCell ref="A1:E1"/>
  </mergeCells>
  <dataValidations count="2">
    <dataValidation sqref="B4:C17 B21" showDropDown="0" showInputMessage="0" showErrorMessage="0" allowBlank="1" type="decimal" operator="greaterThanOrEqual">
      <formula1>0</formula1>
    </dataValidation>
    <dataValidation sqref="B25" showDropDown="0" showInputMessage="0" showErrorMessage="0" allowBlank="0" type="decimal" operator="between">
      <formula1>0.05</formula1>
      <formula2>0.30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  <col width="52" customWidth="1" min="3" max="3"/>
  </cols>
  <sheetData>
    <row r="1">
      <c r="A1" s="3" t="inlineStr">
        <is>
          <t>Source</t>
        </is>
      </c>
      <c r="B1" s="3" t="inlineStr">
        <is>
          <t>URL</t>
        </is>
      </c>
      <c r="C1" s="3" t="inlineStr">
        <is>
          <t>Notes</t>
        </is>
      </c>
    </row>
    <row r="2">
      <c r="A2" s="4" t="inlineStr">
        <is>
          <t>ADU cost benchmark context (consumer range)</t>
        </is>
      </c>
      <c r="B2" s="4" t="inlineStr">
        <is>
          <t>https://www.angi.com/articles/how-much-do-adu-costs.htm</t>
        </is>
      </c>
      <c r="C2" s="4" t="inlineStr">
        <is>
          <t>Use for early screening only; validate with local bids.</t>
        </is>
      </c>
    </row>
    <row r="3">
      <c r="A3" s="4" t="inlineStr">
        <is>
          <t>California ADU Handbook</t>
        </is>
      </c>
      <c r="B3" s="4" t="inlineStr">
        <is>
          <t>https://www.hcd.ca.gov/sites/default/files/docs/policy-and-research/adu-handbook-update.pdf</t>
        </is>
      </c>
      <c r="C3" s="4" t="inlineStr">
        <is>
          <t>Legislative and process context.</t>
        </is>
      </c>
    </row>
    <row r="4">
      <c r="A4" s="4" t="inlineStr">
        <is>
          <t>Author PM experience</t>
        </is>
      </c>
      <c r="B4" s="4" t="inlineStr">
        <is>
          <t>N/A</t>
        </is>
      </c>
      <c r="C4" s="4" t="inlineStr">
        <is>
          <t>Category C judgment for structure and contingency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2026-02-26T08:36:41Z</dcterms:created>
  <dcterms:modified xmlns:dcterms="http://purl.org/dc/terms/" xmlns:xsi="http://www.w3.org/2001/XMLSchema-instance" xsi:type="dcterms:W3CDTF">2026-02-26T08:36:41Z</dcterms:modified>
</cp:coreProperties>
</file>